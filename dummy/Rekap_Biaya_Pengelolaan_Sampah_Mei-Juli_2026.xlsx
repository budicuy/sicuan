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Pembayaran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Detail Harian" sheetId="3" state="visible" r:id="rId3"/>
    <sheet xmlns:r="http://schemas.openxmlformats.org/officeDocument/2006/relationships" name="Kontrol Data" sheetId="4" state="visible" r:id="rId4"/>
    <sheet xmlns:r="http://schemas.openxmlformats.org/officeDocument/2006/relationships" name="Sumber Data" sheetId="5" state="visible" r:id="rId5"/>
  </sheets>
  <definedNames>
    <definedName name="_xlnm._FilterDatabase" localSheetId="0" hidden="1">'Rekap Pembayaran'!$A$1:$S$6</definedName>
    <definedName name="_xlnm._FilterDatabase" localSheetId="2" hidden="1">'Detail Harian'!$A$1:$F$13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Rp 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ekapPembayaran" displayName="RekapPembayaran" ref="A1:S6" headerRowCount="1">
  <autoFilter ref="A1:S6"/>
  <tableColumns count="19">
    <tableColumn id="1" name="No"/>
    <tableColumn id="2" name="No Dokumen"/>
    <tableColumn id="3" name="Tanggal Dokumen"/>
    <tableColumn id="4" name="Bulan Layanan"/>
    <tableColumn id="5" name="Nama Bank Sampah"/>
    <tableColumn id="6" name="ID Pelanggan"/>
    <tableColumn id="7" name="Alamat"/>
    <tableColumn id="8" name="Telepon/HP"/>
    <tableColumn id="9" name="Sumber"/>
    <tableColumn id="10" name="Plastik/Kemasan (kg)"/>
    <tableColumn id="11" name="Paper Cup (kg)"/>
    <tableColumn id="12" name="Karton (kg)"/>
    <tableColumn id="13" name="Total Berat (kg)"/>
    <tableColumn id="14" name="Total Berat (ton)"/>
    <tableColumn id="15" name="Tarif Dasar (Rp)"/>
    <tableColumn id="16" name="Biaya Tambahan (Rp)"/>
    <tableColumn id="17" name="Total Tagihan (Rp)"/>
    <tableColumn id="18" name="Metode Pembayaran"/>
    <tableColumn id="19" name="Keterang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tailHarian" displayName="DetailHarian" ref="A1:F13" headerRowCount="1">
  <autoFilter ref="A1:F13"/>
  <tableColumns count="6">
    <tableColumn id="1" name="No"/>
    <tableColumn id="2" name="No Dokumen"/>
    <tableColumn id="3" name="Periode"/>
    <tableColumn id="4" name="Jenis Sampah"/>
    <tableColumn id="5" name="Tanggal"/>
    <tableColumn id="6" name="Berat Sampah (kg)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1" customWidth="1" min="2" max="2"/>
    <col width="15" customWidth="1" min="3" max="3"/>
    <col width="16" customWidth="1" min="4" max="4"/>
    <col width="34" customWidth="1" min="5" max="5"/>
    <col width="13" customWidth="1" min="6" max="6"/>
    <col width="58" customWidth="1" min="7" max="7"/>
    <col width="16" customWidth="1" min="8" max="8"/>
    <col width="25" customWidth="1" min="9" max="9"/>
    <col width="18" customWidth="1" min="10" max="10"/>
    <col width="15" customWidth="1" min="11" max="11"/>
    <col width="14" customWidth="1" min="12" max="12"/>
    <col width="17" customWidth="1" min="13" max="13"/>
    <col width="17" customWidth="1" min="14" max="14"/>
    <col width="17" customWidth="1" min="15" max="15"/>
    <col width="20" customWidth="1" min="16" max="16"/>
    <col width="18" customWidth="1" min="17" max="17"/>
    <col width="18" customWidth="1" min="18" max="18"/>
    <col width="28" customWidth="1" min="19" max="19"/>
  </cols>
  <sheetData>
    <row r="1">
      <c r="A1" s="1" t="inlineStr">
        <is>
          <t>No</t>
        </is>
      </c>
      <c r="B1" s="1" t="inlineStr">
        <is>
          <t>No Dokumen</t>
        </is>
      </c>
      <c r="C1" s="1" t="inlineStr">
        <is>
          <t>Tanggal Dokumen</t>
        </is>
      </c>
      <c r="D1" s="1" t="inlineStr">
        <is>
          <t>Bulan Layanan</t>
        </is>
      </c>
      <c r="E1" s="1" t="inlineStr">
        <is>
          <t>Nama Bank Sampah</t>
        </is>
      </c>
      <c r="F1" s="1" t="inlineStr">
        <is>
          <t>ID Pelanggan</t>
        </is>
      </c>
      <c r="G1" s="1" t="inlineStr">
        <is>
          <t>Alamat</t>
        </is>
      </c>
      <c r="H1" s="1" t="inlineStr">
        <is>
          <t>Telepon/HP</t>
        </is>
      </c>
      <c r="I1" s="1" t="inlineStr">
        <is>
          <t>Sumber</t>
        </is>
      </c>
      <c r="J1" s="1" t="inlineStr">
        <is>
          <t>Plastik/Kemasan (kg)</t>
        </is>
      </c>
      <c r="K1" s="1" t="inlineStr">
        <is>
          <t>Paper Cup (kg)</t>
        </is>
      </c>
      <c r="L1" s="1" t="inlineStr">
        <is>
          <t>Karton (kg)</t>
        </is>
      </c>
      <c r="M1" s="1" t="inlineStr">
        <is>
          <t>Total Berat (kg)</t>
        </is>
      </c>
      <c r="N1" s="1" t="inlineStr">
        <is>
          <t>Total Berat (ton)</t>
        </is>
      </c>
      <c r="O1" s="1" t="inlineStr">
        <is>
          <t>Tarif Dasar (Rp)</t>
        </is>
      </c>
      <c r="P1" s="1" t="inlineStr">
        <is>
          <t>Biaya Tambahan (Rp)</t>
        </is>
      </c>
      <c r="Q1" s="1" t="inlineStr">
        <is>
          <t>Total Tagihan (Rp)</t>
        </is>
      </c>
      <c r="R1" s="1" t="inlineStr">
        <is>
          <t>Metode Pembayaran</t>
        </is>
      </c>
      <c r="S1" s="1" t="inlineStr">
        <is>
          <t>Keterangan</t>
        </is>
      </c>
    </row>
    <row r="2">
      <c r="A2" s="2" t="n">
        <v>1</v>
      </c>
      <c r="B2" s="2" t="inlineStr">
        <is>
          <t>001 / BPPS / NDL / BJM / VI / 2026</t>
        </is>
      </c>
      <c r="C2" s="2" t="inlineStr">
        <is>
          <t>03/06/2026</t>
        </is>
      </c>
      <c r="D2" s="2" t="inlineStr">
        <is>
          <t>Mei 2026</t>
        </is>
      </c>
      <c r="E2" s="2" t="inlineStr">
        <is>
          <t>TPS 3R Sidoarjo</t>
        </is>
      </c>
      <c r="F2" s="2" t="inlineStr">
        <is>
          <t>SPK-001</t>
        </is>
      </c>
      <c r="G2" s="2" t="inlineStr">
        <is>
          <t>Jl. Sidoarjo RT. 30 RW. 06 Kel. Syamsudin Noor, Kec. Landasan Ulin Kota Banjarbaru Kalimantan Selatan</t>
        </is>
      </c>
      <c r="H2" s="2" t="inlineStr"/>
      <c r="I2" s="2" t="inlineStr">
        <is>
          <t>TPS 3R</t>
        </is>
      </c>
      <c r="J2" s="2" t="n">
        <v>2</v>
      </c>
      <c r="K2" s="3" t="n">
        <v>0</v>
      </c>
      <c r="L2" s="3" t="n">
        <v>0</v>
      </c>
      <c r="M2" s="3" t="n">
        <v>2</v>
      </c>
      <c r="N2" s="3" t="n">
        <v>0.002</v>
      </c>
      <c r="O2" s="4" t="n">
        <v>25000</v>
      </c>
      <c r="P2" s="5" t="n">
        <v>0</v>
      </c>
      <c r="Q2" s="5" t="n">
        <v>25000</v>
      </c>
      <c r="R2" s="5" t="inlineStr">
        <is>
          <t>Tunai</t>
        </is>
      </c>
      <c r="S2" s="2" t="inlineStr">
        <is>
          <t>Sampling produk 1 dus</t>
        </is>
      </c>
    </row>
    <row r="3">
      <c r="A3" s="2" t="n">
        <v>2</v>
      </c>
      <c r="B3" s="2" t="inlineStr">
        <is>
          <t>002 / BPPS / NDL / BJM / VI / 2026</t>
        </is>
      </c>
      <c r="C3" s="2" t="inlineStr">
        <is>
          <t>03/06/2026</t>
        </is>
      </c>
      <c r="D3" s="2" t="inlineStr">
        <is>
          <t>Mei 2026</t>
        </is>
      </c>
      <c r="E3" s="2" t="inlineStr">
        <is>
          <t>Bank Sampah Banjarbaru / TPS 3R Gotong Royong</t>
        </is>
      </c>
      <c r="F3" s="2" t="inlineStr">
        <is>
          <t>SPK-002</t>
        </is>
      </c>
      <c r="G3" s="2" t="inlineStr">
        <is>
          <t>Jl. Trikora RT. 05 RW. 04 Kelurahan Loktabat Selatan, Kec. Banjarbaru Selatan, Banjarbaru Kalimantan Selatan</t>
        </is>
      </c>
      <c r="H3" s="2" t="inlineStr">
        <is>
          <t>081521617747</t>
        </is>
      </c>
      <c r="I3" s="2" t="inlineStr">
        <is>
          <t>Bank Sampah Induk / TPS 3R</t>
        </is>
      </c>
      <c r="J3" s="2" t="n">
        <v>14.98</v>
      </c>
      <c r="K3" s="3" t="n">
        <v>15.01</v>
      </c>
      <c r="L3" s="3" t="n">
        <v>1.5</v>
      </c>
      <c r="M3" s="3" t="n">
        <v>31.49</v>
      </c>
      <c r="N3" s="3" t="n">
        <v>0.03149</v>
      </c>
      <c r="O3" s="4" t="n">
        <v>150000</v>
      </c>
      <c r="P3" s="5" t="n">
        <v>50000</v>
      </c>
      <c r="Q3" s="5" t="n">
        <v>200000</v>
      </c>
      <c r="R3" s="5" t="inlineStr">
        <is>
          <t>Tunai</t>
        </is>
      </c>
      <c r="S3" s="2" t="inlineStr">
        <is>
          <t>Sampling produk 1 dus</t>
        </is>
      </c>
    </row>
    <row r="4">
      <c r="A4" s="2" t="n">
        <v>3</v>
      </c>
      <c r="B4" s="2" t="inlineStr">
        <is>
          <t>003 / BPPS / NDL / BJM / VII / 2026</t>
        </is>
      </c>
      <c r="C4" s="2" t="inlineStr">
        <is>
          <t>06/07/2026</t>
        </is>
      </c>
      <c r="D4" s="2" t="inlineStr">
        <is>
          <t>Juni 2026</t>
        </is>
      </c>
      <c r="E4" s="2" t="inlineStr">
        <is>
          <t>TPS 3R Sidoarjo</t>
        </is>
      </c>
      <c r="F4" s="2" t="inlineStr">
        <is>
          <t>SPK-001</t>
        </is>
      </c>
      <c r="G4" s="2" t="inlineStr">
        <is>
          <t>Jl. Sidoarjo RT. 30 RW. 06 Kel. Syamsudin Noor, Kec. Landasan Ulin Kota Banjarbaru Kalimantan Selatan</t>
        </is>
      </c>
      <c r="H4" s="2" t="inlineStr"/>
      <c r="I4" s="2" t="inlineStr">
        <is>
          <t>TPS 3R</t>
        </is>
      </c>
      <c r="J4" s="2" t="n">
        <v>3.5</v>
      </c>
      <c r="K4" s="3" t="n">
        <v>0</v>
      </c>
      <c r="L4" s="3" t="n">
        <v>0</v>
      </c>
      <c r="M4" s="3" t="n">
        <v>3.5</v>
      </c>
      <c r="N4" s="3" t="n">
        <v>0.0035</v>
      </c>
      <c r="O4" s="4" t="n">
        <v>25000</v>
      </c>
      <c r="P4" s="5" t="n">
        <v>0</v>
      </c>
      <c r="Q4" s="5" t="n">
        <v>25000</v>
      </c>
      <c r="R4" s="5" t="inlineStr">
        <is>
          <t>Tunai</t>
        </is>
      </c>
      <c r="S4" s="2" t="inlineStr">
        <is>
          <t>Sampling produk 1 dus</t>
        </is>
      </c>
    </row>
    <row r="5">
      <c r="A5" s="2" t="n">
        <v>4</v>
      </c>
      <c r="B5" s="2" t="inlineStr">
        <is>
          <t>004 / BPPS / NDL / BJM / VII / 2026</t>
        </is>
      </c>
      <c r="C5" s="2" t="inlineStr">
        <is>
          <t>06/07/2026</t>
        </is>
      </c>
      <c r="D5" s="2" t="inlineStr">
        <is>
          <t>Juni 2026</t>
        </is>
      </c>
      <c r="E5" s="2" t="inlineStr">
        <is>
          <t>Bank Sampah Banjarbaru / TPS 3R Gotong Royong</t>
        </is>
      </c>
      <c r="F5" s="2" t="inlineStr">
        <is>
          <t>SPK-002</t>
        </is>
      </c>
      <c r="G5" s="2" t="inlineStr">
        <is>
          <t>Jl. Trikora RT. 05 RW. 04 Kelurahan Loktabat Selatan, Kec. Banjarbaru Selatan, Banjarbaru Kalimantan Selatan</t>
        </is>
      </c>
      <c r="H5" s="2" t="inlineStr">
        <is>
          <t>081521617747</t>
        </is>
      </c>
      <c r="I5" s="2" t="inlineStr">
        <is>
          <t>Bank Sampah Induk / TPS 3R</t>
        </is>
      </c>
      <c r="J5" s="2" t="n">
        <v>13.48</v>
      </c>
      <c r="K5" s="3" t="n">
        <v>9.609999999999999</v>
      </c>
      <c r="L5" s="3" t="n">
        <v>2.67</v>
      </c>
      <c r="M5" s="3" t="n">
        <v>25.76</v>
      </c>
      <c r="N5" s="3" t="n">
        <v>0.02576</v>
      </c>
      <c r="O5" s="4" t="n">
        <v>150000</v>
      </c>
      <c r="P5" s="5" t="n">
        <v>25000</v>
      </c>
      <c r="Q5" s="5" t="n">
        <v>175000</v>
      </c>
      <c r="R5" s="5" t="inlineStr">
        <is>
          <t>Tunai</t>
        </is>
      </c>
      <c r="S5" s="2" t="inlineStr">
        <is>
          <t>Sampling produk 1 dus</t>
        </is>
      </c>
    </row>
    <row r="6">
      <c r="A6" s="2" t="n">
        <v>5</v>
      </c>
      <c r="B6" s="2" t="inlineStr">
        <is>
          <t>006 / BPPS / NDL / BJM / VIII / 2026</t>
        </is>
      </c>
      <c r="C6" s="2" t="inlineStr">
        <is>
          <t>11/08/2026</t>
        </is>
      </c>
      <c r="D6" s="2" t="inlineStr">
        <is>
          <t>Juli 2026</t>
        </is>
      </c>
      <c r="E6" s="2" t="inlineStr">
        <is>
          <t>TPS 3R Sidoarjo</t>
        </is>
      </c>
      <c r="F6" s="2" t="inlineStr">
        <is>
          <t>SPK-001</t>
        </is>
      </c>
      <c r="G6" s="2" t="inlineStr">
        <is>
          <t>Jl. Sidoarjo RT. 30 RW. 06 Kel. Syamsudin Noor, Kec. Landasan Ulin Kota Banjarbaru Kalimantan Selatan</t>
        </is>
      </c>
      <c r="H6" s="2" t="inlineStr"/>
      <c r="I6" s="2" t="inlineStr">
        <is>
          <t>TPS 3R</t>
        </is>
      </c>
      <c r="J6" s="2" t="n">
        <v>6</v>
      </c>
      <c r="K6" s="3" t="n">
        <v>4</v>
      </c>
      <c r="L6" s="3" t="n">
        <v>0</v>
      </c>
      <c r="M6" s="3" t="n">
        <v>10</v>
      </c>
      <c r="N6" s="3" t="n">
        <v>0.01</v>
      </c>
      <c r="O6" s="4" t="n">
        <v>50000</v>
      </c>
      <c r="P6" s="5" t="n">
        <v>0</v>
      </c>
      <c r="Q6" s="5" t="n">
        <v>50000</v>
      </c>
      <c r="R6" s="5" t="inlineStr">
        <is>
          <t>Tunai</t>
        </is>
      </c>
      <c r="S6" s="2" t="inlineStr">
        <is>
          <t>Sampling produk 1 dus</t>
        </is>
      </c>
    </row>
  </sheetData>
  <autoFilter ref="A1:S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RINGKASAN BIAYA PENGELOLAAN SAMPAH</t>
        </is>
      </c>
    </row>
    <row r="3">
      <c r="A3" t="inlineStr">
        <is>
          <t>Periode</t>
        </is>
      </c>
      <c r="B3" t="inlineStr">
        <is>
          <t>Mei–Juli 2026</t>
        </is>
      </c>
    </row>
    <row r="4">
      <c r="A4" t="inlineStr">
        <is>
          <t>Jumlah Dokumen</t>
        </is>
      </c>
      <c r="B4">
        <f>COUNTA('Rekap Pembayaran'!B2:B6)</f>
        <v/>
      </c>
    </row>
    <row r="5">
      <c r="A5" t="inlineStr">
        <is>
          <t>Total Berat Sampah (kg)</t>
        </is>
      </c>
      <c r="B5">
        <f>SUM('Rekap Pembayaran'!M2:M6)</f>
        <v/>
      </c>
    </row>
    <row r="6">
      <c r="A6" t="inlineStr">
        <is>
          <t>Total Tagihan (Rp)</t>
        </is>
      </c>
      <c r="B6">
        <f>SUM('Rekap Pembayaran'!Q2:Q6)</f>
        <v/>
      </c>
    </row>
    <row r="8">
      <c r="A8" s="7" t="inlineStr">
        <is>
          <t>Bulan</t>
        </is>
      </c>
      <c r="B8" s="7" t="inlineStr">
        <is>
          <t>Total Berat (kg)</t>
        </is>
      </c>
      <c r="C8" s="7" t="inlineStr">
        <is>
          <t>Total Tagihan (Rp)</t>
        </is>
      </c>
    </row>
    <row r="9">
      <c r="A9" t="inlineStr">
        <is>
          <t>Mei 2026</t>
        </is>
      </c>
      <c r="B9" s="8">
        <f>SUMIF('Rekap Pembayaran'!D:D,A9,'Rekap Pembayaran'!M:M)</f>
        <v/>
      </c>
      <c r="C9" s="9">
        <f>SUMIF('Rekap Pembayaran'!D:D,A9,'Rekap Pembayaran'!Q:Q)</f>
        <v/>
      </c>
    </row>
    <row r="10">
      <c r="A10" t="inlineStr">
        <is>
          <t>Juni 2026</t>
        </is>
      </c>
      <c r="B10" s="8">
        <f>SUMIF('Rekap Pembayaran'!D:D,A10,'Rekap Pembayaran'!M:M)</f>
        <v/>
      </c>
      <c r="C10" s="9">
        <f>SUMIF('Rekap Pembayaran'!D:D,A10,'Rekap Pembayaran'!Q:Q)</f>
        <v/>
      </c>
    </row>
    <row r="11">
      <c r="A11" t="inlineStr">
        <is>
          <t>Juli 2026</t>
        </is>
      </c>
      <c r="B11" s="8">
        <f>SUMIF('Rekap Pembayaran'!D:D,A11,'Rekap Pembayaran'!M:M)</f>
        <v/>
      </c>
      <c r="C11" s="9">
        <f>SUMIF('Rekap Pembayaran'!D:D,A11,'Rekap Pembayaran'!Q:Q)</f>
        <v/>
      </c>
    </row>
    <row r="13">
      <c r="A13" t="inlineStr">
        <is>
          <t>Catatan</t>
        </is>
      </c>
      <c r="B13" s="2" t="inlineStr">
        <is>
          <t>Data dibuat dari 4 PDF yang diunggah. Dokumen 005 tidak tersedia pada file yang diunggah, sehingga tidak dibuat-buat.</t>
        </is>
      </c>
    </row>
    <row r="14"/>
  </sheetData>
  <mergeCells count="1">
    <mergeCell ref="B13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1" customWidth="1" min="2" max="2"/>
    <col width="15" customWidth="1" min="3" max="3"/>
    <col width="20" customWidth="1" min="4" max="4"/>
    <col width="15" customWidth="1" min="5" max="5"/>
    <col width="20" customWidth="1" min="6" max="6"/>
  </cols>
  <sheetData>
    <row r="1">
      <c r="A1" s="7" t="inlineStr">
        <is>
          <t>No</t>
        </is>
      </c>
      <c r="B1" s="7" t="inlineStr">
        <is>
          <t>No Dokumen</t>
        </is>
      </c>
      <c r="C1" s="7" t="inlineStr">
        <is>
          <t>Periode</t>
        </is>
      </c>
      <c r="D1" s="7" t="inlineStr">
        <is>
          <t>Jenis Sampah</t>
        </is>
      </c>
      <c r="E1" s="7" t="inlineStr">
        <is>
          <t>Tanggal</t>
        </is>
      </c>
      <c r="F1" s="7" t="inlineStr">
        <is>
          <t>Berat Sampah (kg)</t>
        </is>
      </c>
    </row>
    <row r="2">
      <c r="A2" t="n">
        <v>1</v>
      </c>
      <c r="B2" t="inlineStr">
        <is>
          <t>004 / BPPS / NDL / BJM / VII / 2026</t>
        </is>
      </c>
      <c r="C2" t="inlineStr">
        <is>
          <t>Juni 2026</t>
        </is>
      </c>
      <c r="D2" t="inlineStr">
        <is>
          <t>Sampah Etiket</t>
        </is>
      </c>
      <c r="E2" t="inlineStr">
        <is>
          <t>08/06/2026</t>
        </is>
      </c>
      <c r="F2" s="8" t="n">
        <v>3</v>
      </c>
    </row>
    <row r="3">
      <c r="A3" t="n">
        <v>2</v>
      </c>
      <c r="B3" t="inlineStr">
        <is>
          <t>004 / BPPS / NDL / BJM / VII / 2026</t>
        </is>
      </c>
      <c r="C3" t="inlineStr">
        <is>
          <t>Juni 2026</t>
        </is>
      </c>
      <c r="D3" t="inlineStr">
        <is>
          <t>Sampah Etiket</t>
        </is>
      </c>
      <c r="E3" t="inlineStr">
        <is>
          <t>15/06/2026</t>
        </is>
      </c>
      <c r="F3" s="8" t="n">
        <v>3.18</v>
      </c>
    </row>
    <row r="4">
      <c r="A4" t="n">
        <v>3</v>
      </c>
      <c r="B4" t="inlineStr">
        <is>
          <t>004 / BPPS / NDL / BJM / VII / 2026</t>
        </is>
      </c>
      <c r="C4" t="inlineStr">
        <is>
          <t>Juni 2026</t>
        </is>
      </c>
      <c r="D4" t="inlineStr">
        <is>
          <t>Sampah Etiket</t>
        </is>
      </c>
      <c r="E4" t="inlineStr">
        <is>
          <t>22/06/2026</t>
        </is>
      </c>
      <c r="F4" s="8" t="n">
        <v>1.7</v>
      </c>
    </row>
    <row r="5">
      <c r="A5" t="n">
        <v>4</v>
      </c>
      <c r="B5" t="inlineStr">
        <is>
          <t>004 / BPPS / NDL / BJM / VII / 2026</t>
        </is>
      </c>
      <c r="C5" t="inlineStr">
        <is>
          <t>Juni 2026</t>
        </is>
      </c>
      <c r="D5" t="inlineStr">
        <is>
          <t>Sampah Etiket</t>
        </is>
      </c>
      <c r="E5" t="inlineStr">
        <is>
          <t>27/06/2026</t>
        </is>
      </c>
      <c r="F5" s="8" t="n">
        <v>5.6</v>
      </c>
    </row>
    <row r="6">
      <c r="A6" t="n">
        <v>5</v>
      </c>
      <c r="B6" t="inlineStr">
        <is>
          <t>004 / BPPS / NDL / BJM / VII / 2026</t>
        </is>
      </c>
      <c r="C6" t="inlineStr">
        <is>
          <t>Juni 2026</t>
        </is>
      </c>
      <c r="D6" t="inlineStr">
        <is>
          <t>Sampah Paper</t>
        </is>
      </c>
      <c r="E6" t="inlineStr">
        <is>
          <t>08/06/2026</t>
        </is>
      </c>
      <c r="F6" s="8" t="n">
        <v>2.98</v>
      </c>
    </row>
    <row r="7">
      <c r="A7" t="n">
        <v>6</v>
      </c>
      <c r="B7" t="inlineStr">
        <is>
          <t>004 / BPPS / NDL / BJM / VII / 2026</t>
        </is>
      </c>
      <c r="C7" t="inlineStr">
        <is>
          <t>Juni 2026</t>
        </is>
      </c>
      <c r="D7" t="inlineStr">
        <is>
          <t>Sampah Paper</t>
        </is>
      </c>
      <c r="E7" t="inlineStr">
        <is>
          <t>15/06/2026</t>
        </is>
      </c>
      <c r="F7" s="8" t="n">
        <v>1.67</v>
      </c>
    </row>
    <row r="8">
      <c r="A8" t="n">
        <v>7</v>
      </c>
      <c r="B8" t="inlineStr">
        <is>
          <t>004 / BPPS / NDL / BJM / VII / 2026</t>
        </is>
      </c>
      <c r="C8" t="inlineStr">
        <is>
          <t>Juni 2026</t>
        </is>
      </c>
      <c r="D8" t="inlineStr">
        <is>
          <t>Sampah Paper</t>
        </is>
      </c>
      <c r="E8" t="inlineStr">
        <is>
          <t>22/06/2026</t>
        </is>
      </c>
      <c r="F8" s="8" t="n">
        <v>2.16</v>
      </c>
    </row>
    <row r="9">
      <c r="A9" t="n">
        <v>8</v>
      </c>
      <c r="B9" t="inlineStr">
        <is>
          <t>004 / BPPS / NDL / BJM / VII / 2026</t>
        </is>
      </c>
      <c r="C9" t="inlineStr">
        <is>
          <t>Juni 2026</t>
        </is>
      </c>
      <c r="D9" t="inlineStr">
        <is>
          <t>Sampah Paper</t>
        </is>
      </c>
      <c r="E9" t="inlineStr">
        <is>
          <t>27/06/2026</t>
        </is>
      </c>
      <c r="F9" s="8" t="n">
        <v>2.8</v>
      </c>
    </row>
    <row r="10">
      <c r="A10" t="n">
        <v>9</v>
      </c>
      <c r="B10" t="inlineStr">
        <is>
          <t>004 / BPPS / NDL / BJM / VII / 2026</t>
        </is>
      </c>
      <c r="C10" t="inlineStr">
        <is>
          <t>Juni 2026</t>
        </is>
      </c>
      <c r="D10" t="inlineStr">
        <is>
          <t>Sampah Karton</t>
        </is>
      </c>
      <c r="E10" t="inlineStr">
        <is>
          <t>08/06/2026</t>
        </is>
      </c>
      <c r="F10" s="8" t="n">
        <v>0</v>
      </c>
    </row>
    <row r="11">
      <c r="A11" t="n">
        <v>10</v>
      </c>
      <c r="B11" t="inlineStr">
        <is>
          <t>004 / BPPS / NDL / BJM / VII / 2026</t>
        </is>
      </c>
      <c r="C11" t="inlineStr">
        <is>
          <t>Juni 2026</t>
        </is>
      </c>
      <c r="D11" t="inlineStr">
        <is>
          <t>Sampah Karton</t>
        </is>
      </c>
      <c r="E11" t="inlineStr">
        <is>
          <t>15/06/2026</t>
        </is>
      </c>
      <c r="F11" s="8" t="n">
        <v>0</v>
      </c>
    </row>
    <row r="12">
      <c r="A12" t="n">
        <v>11</v>
      </c>
      <c r="B12" t="inlineStr">
        <is>
          <t>004 / BPPS / NDL / BJM / VII / 2026</t>
        </is>
      </c>
      <c r="C12" t="inlineStr">
        <is>
          <t>Juni 2026</t>
        </is>
      </c>
      <c r="D12" t="inlineStr">
        <is>
          <t>Sampah Karton</t>
        </is>
      </c>
      <c r="E12" t="inlineStr">
        <is>
          <t>22/06/2026</t>
        </is>
      </c>
      <c r="F12" s="8" t="n">
        <v>1.87</v>
      </c>
    </row>
    <row r="13">
      <c r="A13" t="n">
        <v>12</v>
      </c>
      <c r="B13" t="inlineStr">
        <is>
          <t>004 / BPPS / NDL / BJM / VII / 2026</t>
        </is>
      </c>
      <c r="C13" t="inlineStr">
        <is>
          <t>Juni 2026</t>
        </is>
      </c>
      <c r="D13" t="inlineStr">
        <is>
          <t>Sampah Karton</t>
        </is>
      </c>
      <c r="E13" t="inlineStr">
        <is>
          <t>27/06/2026</t>
        </is>
      </c>
      <c r="F13" s="8" t="n">
        <v>0.8</v>
      </c>
    </row>
  </sheetData>
  <autoFilter ref="A1:F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18" customWidth="1" min="4" max="4"/>
    <col width="20" customWidth="1" min="5" max="5"/>
  </cols>
  <sheetData>
    <row r="1">
      <c r="A1" s="10" t="inlineStr">
        <is>
          <t>No Dokumen</t>
        </is>
      </c>
      <c r="B1" s="10" t="inlineStr">
        <is>
          <t>Total Ringkasan (kg)</t>
        </is>
      </c>
      <c r="C1" s="10" t="inlineStr">
        <is>
          <t>Total Detail (kg)</t>
        </is>
      </c>
      <c r="D1" s="10" t="inlineStr">
        <is>
          <t>Selisih (kg)</t>
        </is>
      </c>
      <c r="E1" s="10" t="inlineStr">
        <is>
          <t>Status</t>
        </is>
      </c>
    </row>
    <row r="2">
      <c r="A2" t="inlineStr">
        <is>
          <t>004 / BPPS / NDL / BJM / VII / 2026</t>
        </is>
      </c>
      <c r="B2" s="8" t="n">
        <v>25.76</v>
      </c>
      <c r="C2" s="8">
        <f>SUM('Detail Harian'!F2:F13)</f>
        <v/>
      </c>
      <c r="D2" s="8">
        <f>B2-C2</f>
        <v/>
      </c>
      <c r="E2" t="inlineStr">
        <is>
          <t>OK jika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90" customWidth="1" min="3" max="3"/>
  </cols>
  <sheetData>
    <row r="1">
      <c r="A1" s="11" t="inlineStr">
        <is>
          <t>No</t>
        </is>
      </c>
      <c r="B1" s="11" t="inlineStr">
        <is>
          <t>File Sumber</t>
        </is>
      </c>
      <c r="C1" s="11" t="inlineStr">
        <is>
          <t>Isi yang Diambil</t>
        </is>
      </c>
    </row>
    <row r="2">
      <c r="A2" s="2" t="n">
        <v>1</v>
      </c>
      <c r="B2" s="2" t="inlineStr">
        <is>
          <t>Tanda Terima Biaya Pengelolaan Sampah Mei 2026.pdf</t>
        </is>
      </c>
      <c r="C2" s="2" t="inlineStr">
        <is>
          <t>2 dokumen: No. 001 (TPS 3R Sidoarjo) dan No. 002 (Bank Sampah Banjarbaru / TPS 3R Gotong Royong).</t>
        </is>
      </c>
    </row>
    <row r="3">
      <c r="A3" s="2" t="n">
        <v>2</v>
      </c>
      <c r="B3" s="2" t="inlineStr">
        <is>
          <t>Tanda Terima Biaya Pengelolaan Sampah Juni 2026 - Sidoarjo.pdf</t>
        </is>
      </c>
      <c r="C3" s="2" t="inlineStr">
        <is>
          <t>Dokumen No. 003, periode layanan Juni 2026.</t>
        </is>
      </c>
    </row>
    <row r="4">
      <c r="A4" s="2" t="n">
        <v>3</v>
      </c>
      <c r="B4" s="2" t="inlineStr">
        <is>
          <t>Tanda Terima Biaya Pengelolaan Sampah Juni 2026 - BSB.pdf</t>
        </is>
      </c>
      <c r="C4" s="2" t="inlineStr">
        <is>
          <t>Dokumen No. 004, periode layanan Juni 2026, termasuk detail berat per tanggal 08/15/22/27 Juni.</t>
        </is>
      </c>
    </row>
    <row r="5">
      <c r="A5" s="2" t="n">
        <v>4</v>
      </c>
      <c r="B5" s="2" t="inlineStr">
        <is>
          <t>Tanda Terima Biaya Pengelolaan Sampah Juli 2026 - Sidoarjo.pdf</t>
        </is>
      </c>
      <c r="C5" s="2" t="inlineStr">
        <is>
          <t>Dokumen No. 006, periode layanan Juli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2026-09-21T04:58:28Z</dcterms:created>
  <dcterms:modified xmlns:dcterms="http://purl.org/dc/terms/" xmlns:xsi="http://www.w3.org/2001/XMLSchema-instance" xsi:type="dcterms:W3CDTF">2026-09-21T04:58:28Z</dcterms:modified>
</cp:coreProperties>
</file>